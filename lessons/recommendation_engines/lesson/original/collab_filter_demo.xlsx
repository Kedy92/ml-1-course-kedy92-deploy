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ith Formula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4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i val="1"/>
      <color rgb="FF888888"/>
      <sz val="9"/>
    </font>
    <font>
      <name val="Cambria"/>
      <charset val="1"/>
      <family val="0"/>
      <b val="1"/>
      <color rgb="FF92400E"/>
      <sz val="9"/>
    </font>
    <font>
      <name val="Cambria"/>
      <charset val="1"/>
      <family val="0"/>
      <color rgb="FF92400E"/>
      <sz val="9"/>
    </font>
    <font>
      <name val="Cambria"/>
      <charset val="1"/>
      <family val="0"/>
      <i val="1"/>
      <color rgb="FF999999"/>
      <sz val="8"/>
    </font>
    <font>
      <name val="Cambria"/>
      <charset val="1"/>
      <family val="0"/>
      <b val="1"/>
      <sz val="9"/>
    </font>
    <font>
      <name val="Cambria"/>
      <charset val="1"/>
      <family val="0"/>
      <b val="1"/>
      <i val="1"/>
      <color rgb="FF7C3AED"/>
      <sz val="8"/>
    </font>
    <font>
      <name val="Cambria"/>
      <charset val="1"/>
      <family val="0"/>
      <sz val="9"/>
    </font>
    <font>
      <name val="Cambria"/>
      <charset val="1"/>
      <family val="0"/>
      <b val="1"/>
      <sz val="10"/>
    </font>
    <font>
      <name val="Cambria"/>
      <charset val="1"/>
      <family val="0"/>
      <color rgb="FF1E40AF"/>
      <sz val="9"/>
    </font>
    <font>
      <name val="Cambria"/>
      <charset val="1"/>
      <family val="0"/>
      <color rgb="FF166534"/>
      <sz val="9"/>
    </font>
    <font>
      <name val="Cambria"/>
      <charset val="1"/>
      <family val="0"/>
      <b val="1"/>
      <sz val="13"/>
    </font>
    <font>
      <name val="Cambria"/>
      <charset val="1"/>
      <family val="0"/>
      <b val="1"/>
      <sz val="11"/>
    </font>
    <font>
      <name val="Cambria"/>
      <charset val="1"/>
      <family val="0"/>
      <color rgb="FF999999"/>
      <sz val="8"/>
    </font>
    <font>
      <name val="Cambria"/>
      <charset val="1"/>
      <family val="0"/>
      <b val="1"/>
      <color rgb="FF999999"/>
      <sz val="8"/>
    </font>
    <font>
      <name val="Cambria"/>
      <charset val="1"/>
      <family val="0"/>
      <b val="1"/>
      <color rgb="FF1E40AF"/>
      <sz val="11"/>
    </font>
    <font>
      <name val="Cambria"/>
      <charset val="1"/>
      <family val="0"/>
      <b val="1"/>
      <color rgb="FF92400E"/>
      <sz val="11"/>
    </font>
    <font>
      <name val="Cambria"/>
      <charset val="1"/>
      <family val="0"/>
      <b val="1"/>
      <color rgb="FF166534"/>
      <sz val="11"/>
    </font>
    <font>
      <name val="Cambria"/>
      <charset val="1"/>
      <family val="0"/>
      <b val="1"/>
      <color rgb="FF166534"/>
      <sz val="12"/>
    </font>
    <font>
      <name val="Cambria"/>
      <charset val="1"/>
      <family val="0"/>
      <b val="1"/>
      <color rgb="FF166534"/>
      <sz val="14"/>
    </font>
    <font>
      <name val="Cambria"/>
      <charset val="1"/>
      <family val="0"/>
      <color rgb="FF166534"/>
      <sz val="11"/>
    </font>
    <font>
      <name val="Cambria"/>
      <charset val="1"/>
      <family val="0"/>
      <i val="1"/>
      <color rgb="FFAAAAAA"/>
      <sz val="8"/>
    </font>
    <font>
      <b val="1"/>
      <sz val="14"/>
    </font>
    <font>
      <i val="1"/>
      <color rgb="00888888"/>
      <sz val="9"/>
    </font>
    <font>
      <b val="1"/>
      <color rgb="0092400E"/>
      <sz val="9"/>
    </font>
    <font>
      <color rgb="0092400E"/>
      <sz val="9"/>
    </font>
    <font>
      <i val="1"/>
      <color rgb="00999999"/>
      <sz val="8"/>
    </font>
    <font>
      <b val="1"/>
      <sz val="10"/>
    </font>
    <font>
      <b val="1"/>
      <i val="1"/>
      <color rgb="007C3AED"/>
      <sz val="8"/>
    </font>
    <font>
      <sz val="9"/>
    </font>
    <font>
      <b val="1"/>
      <sz val="9"/>
    </font>
    <font>
      <color rgb="001E40AF"/>
      <sz val="9"/>
    </font>
    <font>
      <color rgb="00166534"/>
      <sz val="9"/>
    </font>
    <font>
      <b val="1"/>
      <sz val="13"/>
    </font>
    <font>
      <b val="1"/>
      <sz val="11"/>
    </font>
    <font>
      <color rgb="00999999"/>
      <sz val="8"/>
    </font>
    <font>
      <b val="1"/>
      <color rgb="00999999"/>
      <sz val="8"/>
    </font>
    <font>
      <b val="1"/>
      <color rgb="001E40AF"/>
    </font>
    <font>
      <b val="1"/>
      <color rgb="0092400E"/>
    </font>
    <font>
      <b val="1"/>
    </font>
    <font>
      <b val="1"/>
      <color rgb="00166534"/>
    </font>
    <font>
      <b val="1"/>
      <color rgb="00166534"/>
      <sz val="12"/>
    </font>
    <font>
      <b val="1"/>
      <color rgb="00166534"/>
      <sz val="14"/>
    </font>
    <font>
      <color rgb="00166534"/>
      <sz val="11"/>
    </font>
    <font>
      <i val="1"/>
      <color rgb="00AAAAAA"/>
      <sz val="8"/>
    </font>
  </fonts>
  <fills count="10">
    <fill>
      <patternFill/>
    </fill>
    <fill>
      <patternFill patternType="gray125"/>
    </fill>
    <fill>
      <patternFill patternType="solid">
        <fgColor rgb="FFFEF3C7"/>
        <bgColor rgb="FFFFFF99"/>
      </patternFill>
    </fill>
    <fill>
      <patternFill patternType="solid">
        <fgColor rgb="FFEDE9FE"/>
        <bgColor rgb="FFDBEAFE"/>
      </patternFill>
    </fill>
    <fill>
      <patternFill patternType="solid">
        <fgColor rgb="FFDBEAFE"/>
        <bgColor rgb="FFEDE9FE"/>
      </patternFill>
    </fill>
    <fill>
      <patternFill patternType="solid">
        <fgColor rgb="FFDCFCE7"/>
        <bgColor rgb="FFCCFFCC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bottom"/>
    </xf>
    <xf numFmtId="0" fontId="12" fillId="0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bottom"/>
    </xf>
    <xf numFmtId="164" fontId="0" fillId="4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bottom"/>
    </xf>
    <xf numFmtId="164" fontId="0" fillId="2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bottom"/>
    </xf>
    <xf numFmtId="165" fontId="0" fillId="5" borderId="1" applyAlignment="1" pivotButton="0" quotePrefix="0" xfId="0">
      <alignment horizontal="center" vertical="center"/>
    </xf>
    <xf numFmtId="165" fontId="21" fillId="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bottom"/>
    </xf>
    <xf numFmtId="165" fontId="0" fillId="3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bottom"/>
    </xf>
    <xf numFmtId="166" fontId="23" fillId="5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164" fontId="29" fillId="6" borderId="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32" fillId="0" borderId="0" applyAlignment="1" pivotButton="0" quotePrefix="0" xfId="0">
      <alignment horizontal="right"/>
    </xf>
    <xf numFmtId="164" fontId="33" fillId="7" borderId="2" applyAlignment="1" pivotButton="0" quotePrefix="0" xfId="0">
      <alignment horizontal="center" vertical="center"/>
    </xf>
    <xf numFmtId="0" fontId="34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164" fontId="35" fillId="8" borderId="2" applyAlignment="1" pivotButton="0" quotePrefix="0" xfId="0">
      <alignment horizontal="center" vertical="center"/>
    </xf>
    <xf numFmtId="164" fontId="36" fillId="9" borderId="2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right"/>
    </xf>
    <xf numFmtId="164" fontId="0" fillId="8" borderId="2" applyAlignment="1" pivotButton="0" quotePrefix="0" xfId="0">
      <alignment horizontal="center" vertical="center"/>
    </xf>
    <xf numFmtId="0" fontId="42" fillId="0" borderId="0" applyAlignment="1" pivotButton="0" quotePrefix="0" xfId="0">
      <alignment horizontal="right"/>
    </xf>
    <xf numFmtId="164" fontId="0" fillId="6" borderId="2" applyAlignment="1" pivotButton="0" quotePrefix="0" xfId="0">
      <alignment horizontal="center" vertical="center"/>
    </xf>
    <xf numFmtId="0" fontId="43" fillId="0" borderId="0" applyAlignment="1" pivotButton="0" quotePrefix="0" xfId="0">
      <alignment horizontal="right"/>
    </xf>
    <xf numFmtId="165" fontId="0" fillId="9" borderId="2" applyAlignment="1" pivotButton="0" quotePrefix="0" xfId="0">
      <alignment horizontal="center" vertical="center"/>
    </xf>
    <xf numFmtId="165" fontId="44" fillId="9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165" fontId="0" fillId="7" borderId="2" applyAlignment="1" pivotButton="0" quotePrefix="0" xfId="0">
      <alignment horizontal="center" vertical="center"/>
    </xf>
    <xf numFmtId="165" fontId="43" fillId="0" borderId="2" applyAlignment="1" pivotButton="0" quotePrefix="0" xfId="0">
      <alignment horizontal="center" vertical="center"/>
    </xf>
    <xf numFmtId="0" fontId="45" fillId="0" borderId="0" applyAlignment="1" pivotButton="0" quotePrefix="0" xfId="0">
      <alignment horizontal="right"/>
    </xf>
    <xf numFmtId="166" fontId="46" fillId="9" borderId="2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DE9FE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AAAAAA"/>
      <rgbColor rgb="FF888888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C3AED"/>
      <rgbColor rgb="FF999999"/>
      <rgbColor rgb="FF003366"/>
      <rgbColor rgb="FF339966"/>
      <rgbColor rgb="FF003300"/>
      <rgbColor rgb="FF333300"/>
      <rgbColor rgb="FF92400E"/>
      <rgbColor rgb="FF993366"/>
      <rgbColor rgb="FF1E40AF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T40"/>
  <sheetViews>
    <sheetView workbookViewId="0">
      <selection activeCell="A1" sqref="A1"/>
    </sheetView>
  </sheetViews>
  <sheetFormatPr baseColWidth="8" defaultRowHeight="15"/>
  <cols>
    <col width="3" customWidth="1" style="33" min="1" max="1"/>
    <col width="3" customWidth="1" style="33" min="2" max="2"/>
    <col width="3" customWidth="1" style="33" min="3" max="3"/>
    <col width="8" customWidth="1" style="33" min="4" max="4"/>
    <col width="9" customWidth="1" style="33" min="5" max="5"/>
    <col width="9" customWidth="1" style="33" min="6" max="6"/>
    <col width="9" customWidth="1" style="33" min="7" max="7"/>
    <col width="9" customWidth="1" style="33" min="8" max="8"/>
    <col width="9" customWidth="1" style="33" min="9" max="9"/>
    <col width="9" customWidth="1" style="33" min="10" max="10"/>
    <col width="3" customWidth="1" style="33" min="11" max="11"/>
    <col width="9" customWidth="1" style="33" min="12" max="12"/>
    <col width="9" customWidth="1" style="33" min="13" max="13"/>
    <col width="9" customWidth="1" style="33" min="14" max="14"/>
    <col width="9" customWidth="1" style="33" min="15" max="15"/>
    <col width="9" customWidth="1" style="33" min="16" max="16"/>
    <col width="9" customWidth="1" style="33" min="17" max="17"/>
    <col width="9" customWidth="1" style="33" min="18" max="18"/>
    <col width="9" customWidth="1" style="33" min="19" max="19"/>
  </cols>
  <sheetData>
    <row r="2">
      <c r="D2" s="34" t="inlineStr">
        <is>
          <t>Collaborative Filtering - Live Formulas</t>
        </is>
      </c>
    </row>
    <row r="3">
      <c r="D3" s="35" t="inlineStr">
        <is>
          <t>Blue = user embeddings, Orange = movie embeddings, Purple = biases, Green = predictions (formulas)</t>
        </is>
      </c>
    </row>
    <row r="4">
      <c r="L4" s="36" t="inlineStr">
        <is>
          <t>movieId</t>
        </is>
      </c>
    </row>
    <row r="5">
      <c r="L5" s="37" t="n">
        <v>0.222</v>
      </c>
      <c r="M5" s="37" t="n">
        <v>-0.216</v>
      </c>
      <c r="N5" s="37" t="n">
        <v>0.097</v>
      </c>
      <c r="O5" s="37" t="n">
        <v>0.279</v>
      </c>
      <c r="P5" s="37" t="n">
        <v>-0.144</v>
      </c>
      <c r="Q5" s="37" t="n">
        <v>0.407</v>
      </c>
      <c r="R5" s="37" t="n">
        <v>0.108</v>
      </c>
      <c r="S5" s="37" t="n">
        <v>0.247</v>
      </c>
      <c r="T5" s="38" t="inlineStr">
        <is>
          <t>d1</t>
        </is>
      </c>
    </row>
    <row r="6">
      <c r="L6" s="37" t="n">
        <v>0.051</v>
      </c>
      <c r="M6" s="37" t="n">
        <v>-0.138</v>
      </c>
      <c r="N6" s="37" t="n">
        <v>-0.116</v>
      </c>
      <c r="O6" s="37" t="n">
        <v>-0.252</v>
      </c>
      <c r="P6" s="37" t="n">
        <v>-0.056</v>
      </c>
      <c r="Q6" s="37" t="n">
        <v>-0.022</v>
      </c>
      <c r="R6" s="37" t="n">
        <v>0.461</v>
      </c>
      <c r="S6" s="37" t="n">
        <v>0.026</v>
      </c>
      <c r="T6" s="38" t="inlineStr">
        <is>
          <t>d2</t>
        </is>
      </c>
    </row>
    <row r="7">
      <c r="L7" s="37" t="n">
        <v>-0.035</v>
      </c>
      <c r="M7" s="37" t="n">
        <v>0.317</v>
      </c>
      <c r="N7" s="37" t="n">
        <v>-0.203</v>
      </c>
      <c r="O7" s="37" t="n">
        <v>-0.093</v>
      </c>
      <c r="P7" s="37" t="n">
        <v>-0.332</v>
      </c>
      <c r="Q7" s="37" t="n">
        <v>0.301</v>
      </c>
      <c r="R7" s="37" t="n">
        <v>-0.011</v>
      </c>
      <c r="S7" s="37" t="n">
        <v>-0.09</v>
      </c>
      <c r="T7" s="38" t="inlineStr">
        <is>
          <t>d3</t>
        </is>
      </c>
    </row>
    <row r="8">
      <c r="L8" s="37" t="n">
        <v>-0.09</v>
      </c>
      <c r="M8" s="37" t="n">
        <v>0.103</v>
      </c>
      <c r="N8" s="37" t="n">
        <v>0.184</v>
      </c>
      <c r="O8" s="37" t="n">
        <v>0.099</v>
      </c>
      <c r="P8" s="37" t="n">
        <v>-0.359</v>
      </c>
      <c r="Q8" s="37" t="n">
        <v>0.108</v>
      </c>
      <c r="R8" s="37" t="n">
        <v>0.469</v>
      </c>
      <c r="S8" s="37" t="n">
        <v>0.028</v>
      </c>
      <c r="T8" s="38" t="inlineStr">
        <is>
          <t>d4</t>
        </is>
      </c>
    </row>
    <row r="9">
      <c r="L9" s="37" t="n">
        <v>-0.444</v>
      </c>
      <c r="M9" s="37" t="n">
        <v>-0.529</v>
      </c>
      <c r="N9" s="37" t="n">
        <v>0.309</v>
      </c>
      <c r="O9" s="37" t="n">
        <v>0.293</v>
      </c>
      <c r="P9" s="37" t="n">
        <v>0.244</v>
      </c>
      <c r="Q9" s="37" t="n">
        <v>-0.194</v>
      </c>
      <c r="R9" s="37" t="n">
        <v>-0.786</v>
      </c>
      <c r="S9" s="37" t="n">
        <v>-0.596</v>
      </c>
      <c r="T9" s="38" t="inlineStr">
        <is>
          <t>d5</t>
        </is>
      </c>
    </row>
    <row r="10">
      <c r="L10" s="39" t="n">
        <v>50</v>
      </c>
      <c r="M10" s="39" t="n">
        <v>258</v>
      </c>
      <c r="N10" s="39" t="n">
        <v>100</v>
      </c>
      <c r="O10" s="39" t="n">
        <v>181</v>
      </c>
      <c r="P10" s="39" t="n">
        <v>294</v>
      </c>
      <c r="Q10" s="39" t="n">
        <v>286</v>
      </c>
      <c r="R10" s="39" t="n">
        <v>288</v>
      </c>
      <c r="S10" s="39" t="n">
        <v>1</v>
      </c>
    </row>
    <row r="11">
      <c r="K11" s="40" t="inlineStr">
        <is>
          <t>bias</t>
        </is>
      </c>
      <c r="L11" s="41" t="n">
        <v>-0.053</v>
      </c>
      <c r="M11" s="41" t="n">
        <v>0.051</v>
      </c>
      <c r="N11" s="41" t="n">
        <v>0.01</v>
      </c>
      <c r="O11" s="41" t="n">
        <v>0.097</v>
      </c>
      <c r="P11" s="41" t="n">
        <v>-0.07000000000000001</v>
      </c>
      <c r="Q11" s="41" t="n">
        <v>-0.033</v>
      </c>
      <c r="R11" s="41" t="n">
        <v>-0.039</v>
      </c>
      <c r="S11" s="41" t="n">
        <v>-0.146</v>
      </c>
    </row>
    <row r="12">
      <c r="D12" s="42" t="inlineStr">
        <is>
          <t>userId</t>
        </is>
      </c>
      <c r="E12" s="43" t="inlineStr">
        <is>
          <t>d1</t>
        </is>
      </c>
      <c r="F12" s="43" t="inlineStr">
        <is>
          <t>d2</t>
        </is>
      </c>
      <c r="G12" s="43" t="inlineStr">
        <is>
          <t>d3</t>
        </is>
      </c>
      <c r="H12" s="43" t="inlineStr">
        <is>
          <t>d4</t>
        </is>
      </c>
      <c r="I12" s="43" t="inlineStr">
        <is>
          <t>d5</t>
        </is>
      </c>
      <c r="J12" s="44" t="inlineStr">
        <is>
          <t>bias</t>
        </is>
      </c>
    </row>
    <row r="13">
      <c r="D13" s="39" t="n">
        <v>405</v>
      </c>
      <c r="E13" s="45" t="n">
        <v>0.149</v>
      </c>
      <c r="F13" s="45" t="n">
        <v>-0.041</v>
      </c>
      <c r="G13" s="45" t="n">
        <v>0.194</v>
      </c>
      <c r="H13" s="45" t="n">
        <v>0.457</v>
      </c>
      <c r="I13" s="45" t="n">
        <v>-0.07000000000000001</v>
      </c>
      <c r="J13" s="41" t="n">
        <v>-0.022</v>
      </c>
      <c r="L13" s="39" t="n">
        <v>5</v>
      </c>
      <c r="M13" s="46">
        <f>SUMPRODUCT(E13:I13,TRANSPOSE(M5:M9))+J13+M11</f>
        <v/>
      </c>
      <c r="N13" s="46">
        <f>SUMPRODUCT(E13:I13,TRANSPOSE(N5:N9))+J13+N11</f>
        <v/>
      </c>
      <c r="O13" s="39" t="n">
        <v>5</v>
      </c>
      <c r="P13" s="46">
        <f>SUMPRODUCT(E13:I13,TRANSPOSE(P5:P9))+J13+P11</f>
        <v/>
      </c>
      <c r="Q13" s="46">
        <f>SUMPRODUCT(E13:I13,TRANSPOSE(Q5:Q9))+J13+Q11</f>
        <v/>
      </c>
      <c r="R13" s="39" t="n">
        <v>5</v>
      </c>
      <c r="S13" s="46">
        <f>SUMPRODUCT(E13:I13,TRANSPOSE(S5:S9))+J13+S11</f>
        <v/>
      </c>
    </row>
    <row r="14">
      <c r="D14" s="39" t="n">
        <v>655</v>
      </c>
      <c r="E14" s="45" t="n">
        <v>-0.07000000000000001</v>
      </c>
      <c r="F14" s="45" t="n">
        <v>0.474</v>
      </c>
      <c r="G14" s="45" t="n">
        <v>0.23</v>
      </c>
      <c r="H14" s="45" t="n">
        <v>-0.141</v>
      </c>
      <c r="I14" s="45" t="n">
        <v>0.163</v>
      </c>
      <c r="J14" s="41" t="n">
        <v>0.036</v>
      </c>
      <c r="L14" s="39" t="n">
        <v>4</v>
      </c>
      <c r="M14" s="39" t="n">
        <v>2</v>
      </c>
      <c r="N14" s="39" t="n">
        <v>3</v>
      </c>
      <c r="O14" s="39" t="n">
        <v>3</v>
      </c>
      <c r="P14" s="39" t="n">
        <v>3</v>
      </c>
      <c r="Q14" s="39" t="n">
        <v>3</v>
      </c>
      <c r="R14" s="39" t="n">
        <v>3</v>
      </c>
      <c r="S14" s="39" t="n">
        <v>2</v>
      </c>
    </row>
    <row r="15">
      <c r="D15" s="39" t="n">
        <v>13</v>
      </c>
      <c r="E15" s="45" t="n">
        <v>-0.139</v>
      </c>
      <c r="F15" s="45" t="n">
        <v>-0.14</v>
      </c>
      <c r="G15" s="45" t="n">
        <v>0.073</v>
      </c>
      <c r="H15" s="45" t="n">
        <v>-0.574</v>
      </c>
      <c r="I15" s="45" t="n">
        <v>-0.517</v>
      </c>
      <c r="J15" s="41" t="n">
        <v>0.148</v>
      </c>
      <c r="L15" s="39" t="n">
        <v>5</v>
      </c>
      <c r="M15" s="39" t="n">
        <v>4</v>
      </c>
      <c r="N15" s="39" t="n">
        <v>5</v>
      </c>
      <c r="O15" s="39" t="n">
        <v>5</v>
      </c>
      <c r="P15" s="39" t="n">
        <v>2</v>
      </c>
      <c r="Q15" s="39" t="n">
        <v>3</v>
      </c>
      <c r="R15" s="39" t="n">
        <v>1</v>
      </c>
      <c r="S15" s="39" t="n">
        <v>3</v>
      </c>
    </row>
    <row r="16">
      <c r="D16" s="39" t="n">
        <v>450</v>
      </c>
      <c r="E16" s="45" t="n">
        <v>-0.169</v>
      </c>
      <c r="F16" s="45" t="n">
        <v>-0.304</v>
      </c>
      <c r="G16" s="45" t="n">
        <v>0.094</v>
      </c>
      <c r="H16" s="45" t="n">
        <v>-0.272</v>
      </c>
      <c r="I16" s="45" t="n">
        <v>-0.424</v>
      </c>
      <c r="J16" s="41" t="n">
        <v>-0.052</v>
      </c>
      <c r="L16" s="39" t="n">
        <v>5</v>
      </c>
      <c r="M16" s="39" t="n">
        <v>4</v>
      </c>
      <c r="N16" s="39" t="n">
        <v>4</v>
      </c>
      <c r="O16" s="39" t="n">
        <v>4</v>
      </c>
      <c r="P16" s="39" t="n">
        <v>4</v>
      </c>
      <c r="Q16" s="39" t="n">
        <v>4</v>
      </c>
      <c r="R16" s="39" t="n">
        <v>3</v>
      </c>
      <c r="S16" s="39" t="n">
        <v>4</v>
      </c>
    </row>
    <row r="17">
      <c r="D17" s="39" t="n">
        <v>276</v>
      </c>
      <c r="E17" s="45" t="n">
        <v>0.44</v>
      </c>
      <c r="F17" s="45" t="n">
        <v>-0.068</v>
      </c>
      <c r="G17" s="45" t="n">
        <v>0.02</v>
      </c>
      <c r="H17" s="45" t="n">
        <v>-0.427</v>
      </c>
      <c r="I17" s="45" t="n">
        <v>-0.163</v>
      </c>
      <c r="J17" s="41" t="n">
        <v>-0.081</v>
      </c>
      <c r="L17" s="39" t="n">
        <v>5</v>
      </c>
      <c r="M17" s="39" t="n">
        <v>5</v>
      </c>
      <c r="N17" s="39" t="n">
        <v>5</v>
      </c>
      <c r="O17" s="39" t="n">
        <v>5</v>
      </c>
      <c r="P17" s="39" t="n">
        <v>4</v>
      </c>
      <c r="Q17" s="46">
        <f>SUMPRODUCT(E17:I17,TRANSPOSE(Q5:Q9))+J17+Q11</f>
        <v/>
      </c>
      <c r="R17" s="39" t="n">
        <v>4</v>
      </c>
      <c r="S17" s="39" t="n">
        <v>5</v>
      </c>
    </row>
    <row r="18">
      <c r="D18" s="39" t="n">
        <v>416</v>
      </c>
      <c r="E18" s="45" t="n">
        <v>0.033</v>
      </c>
      <c r="F18" s="45" t="n">
        <v>-0.345</v>
      </c>
      <c r="G18" s="45" t="n">
        <v>0.113</v>
      </c>
      <c r="H18" s="45" t="n">
        <v>-0.18</v>
      </c>
      <c r="I18" s="45" t="n">
        <v>-0.08799999999999999</v>
      </c>
      <c r="J18" s="41" t="n">
        <v>-0.05</v>
      </c>
      <c r="L18" s="39" t="n">
        <v>5</v>
      </c>
      <c r="M18" s="39" t="n">
        <v>5</v>
      </c>
      <c r="N18" s="39" t="n">
        <v>5</v>
      </c>
      <c r="O18" s="39" t="n">
        <v>5</v>
      </c>
      <c r="P18" s="39" t="n">
        <v>4</v>
      </c>
      <c r="Q18" s="39" t="n">
        <v>5</v>
      </c>
      <c r="R18" s="39" t="n">
        <v>5</v>
      </c>
      <c r="S18" s="39" t="n">
        <v>5</v>
      </c>
    </row>
    <row r="19">
      <c r="D19" s="39" t="n">
        <v>537</v>
      </c>
      <c r="E19" s="45" t="n">
        <v>-0.181</v>
      </c>
      <c r="F19" s="45" t="n">
        <v>0.556</v>
      </c>
      <c r="G19" s="45" t="n">
        <v>-0.004</v>
      </c>
      <c r="H19" s="45" t="n">
        <v>-0.317</v>
      </c>
      <c r="I19" s="45" t="n">
        <v>0.247</v>
      </c>
      <c r="J19" s="41" t="n">
        <v>0.092</v>
      </c>
      <c r="L19" s="39" t="n">
        <v>4</v>
      </c>
      <c r="M19" s="39" t="n">
        <v>4</v>
      </c>
      <c r="N19" s="39" t="n">
        <v>4</v>
      </c>
      <c r="O19" s="39" t="n">
        <v>2</v>
      </c>
      <c r="P19" s="39" t="n">
        <v>1</v>
      </c>
      <c r="Q19" s="39" t="n">
        <v>3</v>
      </c>
      <c r="R19" s="39" t="n">
        <v>2</v>
      </c>
      <c r="S19" s="39" t="n">
        <v>2</v>
      </c>
    </row>
    <row r="20">
      <c r="D20" s="39" t="n">
        <v>303</v>
      </c>
      <c r="E20" s="45" t="n">
        <v>-0.366</v>
      </c>
      <c r="F20" s="45" t="n">
        <v>0.063</v>
      </c>
      <c r="G20" s="45" t="n">
        <v>-0.588</v>
      </c>
      <c r="H20" s="45" t="n">
        <v>-0.398</v>
      </c>
      <c r="I20" s="45" t="n">
        <v>0.059</v>
      </c>
      <c r="J20" s="41" t="n">
        <v>0.033</v>
      </c>
      <c r="L20" s="39" t="n">
        <v>5</v>
      </c>
      <c r="M20" s="39" t="n">
        <v>4</v>
      </c>
      <c r="N20" s="39" t="n">
        <v>5</v>
      </c>
      <c r="O20" s="39" t="n">
        <v>5</v>
      </c>
      <c r="P20" s="39" t="n">
        <v>4</v>
      </c>
      <c r="Q20" s="39" t="n">
        <v>5</v>
      </c>
      <c r="R20" s="39" t="n">
        <v>4</v>
      </c>
      <c r="S20" s="39" t="n">
        <v>5</v>
      </c>
    </row>
    <row r="24">
      <c r="D24" s="47" t="inlineStr">
        <is>
          <t>DETAILED CALCULATION</t>
        </is>
      </c>
    </row>
    <row r="25">
      <c r="D25" s="35" t="inlineStr">
        <is>
          <t>All cells are formulas referencing the table above.</t>
        </is>
      </c>
    </row>
    <row r="27">
      <c r="D27" s="48" t="inlineStr">
        <is>
          <t>User 405 x Movie 50 (Star Wars (1977))</t>
        </is>
      </c>
    </row>
    <row r="29">
      <c r="E29" s="49" t="inlineStr">
        <is>
          <t>dim 1</t>
        </is>
      </c>
      <c r="F29" s="49" t="inlineStr">
        <is>
          <t>dim 2</t>
        </is>
      </c>
      <c r="G29" s="49" t="inlineStr">
        <is>
          <t>dim 3</t>
        </is>
      </c>
      <c r="H29" s="49" t="inlineStr">
        <is>
          <t>dim 4</t>
        </is>
      </c>
      <c r="I29" s="49" t="inlineStr">
        <is>
          <t>dim 5</t>
        </is>
      </c>
      <c r="J29" s="50" t="inlineStr">
        <is>
          <t>Sum</t>
        </is>
      </c>
    </row>
    <row r="30">
      <c r="D30" s="51" t="inlineStr">
        <is>
          <t>User 405:</t>
        </is>
      </c>
      <c r="E30" s="52">
        <f>E13</f>
        <v/>
      </c>
      <c r="F30" s="52">
        <f>F13</f>
        <v/>
      </c>
      <c r="G30" s="52">
        <f>G13</f>
        <v/>
      </c>
      <c r="H30" s="52">
        <f>H13</f>
        <v/>
      </c>
      <c r="I30" s="52">
        <f>I13</f>
        <v/>
      </c>
    </row>
    <row r="31">
      <c r="D31" s="53" t="inlineStr">
        <is>
          <t>Movie 50:</t>
        </is>
      </c>
      <c r="E31" s="54">
        <f>L5</f>
        <v/>
      </c>
      <c r="F31" s="54">
        <f>L6</f>
        <v/>
      </c>
      <c r="G31" s="54">
        <f>L7</f>
        <v/>
      </c>
      <c r="H31" s="54">
        <f>L8</f>
        <v/>
      </c>
      <c r="I31" s="54">
        <f>L9</f>
        <v/>
      </c>
    </row>
    <row r="32">
      <c r="D32" s="55" t="inlineStr">
        <is>
          <t>Products:</t>
        </is>
      </c>
      <c r="E32" s="56">
        <f>E30*E31</f>
        <v/>
      </c>
      <c r="F32" s="56">
        <f>F30*F31</f>
        <v/>
      </c>
      <c r="G32" s="56">
        <f>G30*G31</f>
        <v/>
      </c>
      <c r="H32" s="56">
        <f>H30*H31</f>
        <v/>
      </c>
      <c r="I32" s="56">
        <f>I30*I31</f>
        <v/>
      </c>
      <c r="J32" s="57">
        <f>E32+F32+G32+H32+I32</f>
        <v/>
      </c>
    </row>
    <row r="34">
      <c r="D34" s="55" t="inlineStr">
        <is>
          <t>Dot product:</t>
        </is>
      </c>
      <c r="E34" s="58">
        <f>J32</f>
        <v/>
      </c>
    </row>
    <row r="35">
      <c r="D35" s="59" t="inlineStr">
        <is>
          <t>+ User bias:</t>
        </is>
      </c>
      <c r="E35" s="60">
        <f>J13</f>
        <v/>
      </c>
    </row>
    <row r="36">
      <c r="D36" s="59" t="inlineStr">
        <is>
          <t>+ Movie bias:</t>
        </is>
      </c>
      <c r="E36" s="60">
        <f>L11</f>
        <v/>
      </c>
    </row>
    <row r="37">
      <c r="D37" s="55">
        <f> Raw score:</f>
        <v/>
      </c>
      <c r="E37" s="61">
        <f>J32+E35+E36</f>
        <v/>
      </c>
    </row>
    <row r="39">
      <c r="D39" s="62" t="inlineStr">
        <is>
          <t>Predicted:</t>
        </is>
      </c>
      <c r="E39" s="63">
        <f>1/(1+EXP(-E37))*5.5</f>
        <v/>
      </c>
      <c r="F39" s="64" t="inlineStr">
        <is>
          <t>stars</t>
        </is>
      </c>
    </row>
    <row r="40">
      <c r="E40" s="65" t="inlineStr">
        <is>
          <t>sigmoid_range(raw, 0, 5.5)</t>
        </is>
      </c>
    </row>
  </sheetData>
  <mergeCells count="13">
    <mergeCell ref="D31"/>
    <mergeCell ref="D32"/>
    <mergeCell ref="D35"/>
    <mergeCell ref="D36"/>
    <mergeCell ref="D30"/>
    <mergeCell ref="D3:S3"/>
    <mergeCell ref="D39"/>
    <mergeCell ref="D27:H27"/>
    <mergeCell ref="D34"/>
    <mergeCell ref="D25:S25"/>
    <mergeCell ref="D24:S24"/>
    <mergeCell ref="D2:S2"/>
    <mergeCell ref="D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2026-04-09T14:56:16Z</dcterms:created>
  <dcterms:modified xmlns:dcterms="http://purl.org/dc/terms/" xmlns:xsi="http://www.w3.org/2001/XMLSchema-instance" xsi:type="dcterms:W3CDTF">2026-04-09T21:19:35Z</dcterms:modified>
  <cp:revision>8</cp:revision>
</cp:coreProperties>
</file>