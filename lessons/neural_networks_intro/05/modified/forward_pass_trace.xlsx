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ward Pass 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sz val="12"/>
    </font>
    <font>
      <b val="1"/>
      <sz val="9"/>
    </font>
    <font>
      <b val="1"/>
      <color rgb="00FFFFFF"/>
      <sz val="12"/>
    </font>
    <font>
      <b val="1"/>
      <sz val="11"/>
    </font>
    <font>
      <b val="1"/>
      <color rgb="002E7D32"/>
    </font>
    <font>
      <sz val="10"/>
    </font>
    <font>
      <i val="1"/>
      <sz val="10"/>
    </font>
    <font>
      <b val="1"/>
      <sz val="10"/>
    </font>
  </fonts>
  <fills count="1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E8DAEF"/>
      </patternFill>
    </fill>
    <fill>
      <patternFill patternType="solid">
        <fgColor rgb="00DAEEF3"/>
      </patternFill>
    </fill>
    <fill>
      <patternFill patternType="solid">
        <fgColor rgb="00FDE9D9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548235"/>
      </patternFill>
    </fill>
    <fill>
      <patternFill patternType="solid">
        <fgColor rgb="00C00000"/>
      </patternFill>
    </fill>
    <fill>
      <patternFill patternType="solid">
        <fgColor rgb="00D5A6E6"/>
      </patternFill>
    </fill>
    <fill>
      <patternFill patternType="solid">
        <fgColor rgb="007030A0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5" fillId="10" borderId="0" pivotButton="0" quotePrefix="0" xfId="0"/>
    <xf numFmtId="0" fontId="5" fillId="11" borderId="0" pivotButton="0" quotePrefix="0" xfId="0"/>
    <xf numFmtId="0" fontId="4" fillId="0" borderId="0" pivotButton="0" quotePrefix="0" xfId="0"/>
    <xf numFmtId="2" fontId="0" fillId="2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164" fontId="0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0" fontId="7" fillId="0" borderId="0" pivotButton="0" quotePrefix="0" xfId="0"/>
    <xf numFmtId="0" fontId="0" fillId="2" borderId="1" pivotButton="0" quotePrefix="0" xfId="0"/>
    <xf numFmtId="0" fontId="8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2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5" fillId="13" borderId="0" pivotButton="0" quotePrefix="0" xfId="0"/>
    <xf numFmtId="164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</cols>
  <sheetData>
    <row r="1">
      <c r="A1" s="1" t="inlineStr">
        <is>
          <t>NEURAL NETWORK FORWARD PASS - Passenger 0 (Titanic)</t>
        </is>
      </c>
    </row>
    <row r="2">
      <c r="A2" s="2" t="inlineStr">
        <is>
          <t>Architecture: 4 inputs -&gt; 8 neurons (ReLU) -&gt; 5 neurons (ReLU) -&gt; 1 output (Sigmoid)</t>
        </is>
      </c>
    </row>
    <row r="4">
      <c r="A4" s="3" t="inlineStr">
        <is>
          <t>INPUT</t>
        </is>
      </c>
      <c r="G4" s="4" t="inlineStr">
        <is>
          <t>H1 WEIGHTS (8x4)</t>
        </is>
      </c>
      <c r="O4" s="5" t="inlineStr">
        <is>
          <t>H1 PRODUCTS (input x weight)</t>
        </is>
      </c>
      <c r="Y4" s="6" t="inlineStr">
        <is>
          <t>H2 WEIGHTS (5x8)</t>
        </is>
      </c>
      <c r="AO4" s="7" t="inlineStr">
        <is>
          <t>OUTPUT (1x5) -&gt; Sigmoid</t>
        </is>
      </c>
    </row>
    <row r="5">
      <c r="A5" s="8" t="inlineStr"/>
      <c r="B5" s="8" t="inlineStr">
        <is>
          <t>Pclass</t>
        </is>
      </c>
      <c r="C5" s="8" t="inlineStr">
        <is>
          <t>Sex</t>
        </is>
      </c>
      <c r="D5" s="8" t="inlineStr">
        <is>
          <t>Age</t>
        </is>
      </c>
      <c r="E5" s="8" t="inlineStr">
        <is>
          <t>Fare</t>
        </is>
      </c>
      <c r="G5" s="8" t="inlineStr"/>
      <c r="H5" s="8" t="inlineStr">
        <is>
          <t>Pcl</t>
        </is>
      </c>
      <c r="I5" s="8" t="inlineStr">
        <is>
          <t>Sex</t>
        </is>
      </c>
      <c r="J5" s="8" t="inlineStr">
        <is>
          <t>Age</t>
        </is>
      </c>
      <c r="K5" s="8" t="inlineStr">
        <is>
          <t>Fare</t>
        </is>
      </c>
      <c r="M5" s="8" t="inlineStr">
        <is>
          <t>Bias</t>
        </is>
      </c>
      <c r="O5" s="8" t="inlineStr">
        <is>
          <t>x*w_Pcl</t>
        </is>
      </c>
      <c r="P5" s="8" t="inlineStr">
        <is>
          <t>x*w_Sex</t>
        </is>
      </c>
      <c r="Q5" s="8" t="inlineStr">
        <is>
          <t>x*w_Age</t>
        </is>
      </c>
      <c r="R5" s="8" t="inlineStr">
        <is>
          <t>x*w_Fare</t>
        </is>
      </c>
      <c r="T5" s="8" t="inlineStr">
        <is>
          <t>Sum</t>
        </is>
      </c>
      <c r="U5" s="8" t="inlineStr">
        <is>
          <t>z=sum+b</t>
        </is>
      </c>
      <c r="V5" s="8" t="inlineStr">
        <is>
          <t>a=ReLU(z)</t>
        </is>
      </c>
      <c r="Y5" s="8" t="inlineStr"/>
      <c r="Z5" s="8" t="inlineStr">
        <is>
          <t>N0</t>
        </is>
      </c>
      <c r="AA5" s="8" t="inlineStr">
        <is>
          <t>N1</t>
        </is>
      </c>
      <c r="AB5" s="8" t="inlineStr">
        <is>
          <t>N2</t>
        </is>
      </c>
      <c r="AC5" s="8" t="inlineStr">
        <is>
          <t>N3</t>
        </is>
      </c>
      <c r="AD5" s="8" t="inlineStr">
        <is>
          <t>N4</t>
        </is>
      </c>
      <c r="AE5" s="8" t="inlineStr">
        <is>
          <t>N5</t>
        </is>
      </c>
      <c r="AF5" s="8" t="inlineStr">
        <is>
          <t>N6</t>
        </is>
      </c>
      <c r="AG5" s="8" t="inlineStr">
        <is>
          <t>N7</t>
        </is>
      </c>
      <c r="AI5" s="8" t="inlineStr">
        <is>
          <t>Bias</t>
        </is>
      </c>
      <c r="AJ5" s="8" t="inlineStr">
        <is>
          <t>Sum</t>
        </is>
      </c>
      <c r="AK5" s="8" t="inlineStr">
        <is>
          <t>z=sum+b</t>
        </is>
      </c>
      <c r="AL5" s="8" t="inlineStr">
        <is>
          <t>a=ReLU(z)</t>
        </is>
      </c>
      <c r="AO5" s="8" t="inlineStr"/>
      <c r="AP5" s="8" t="inlineStr">
        <is>
          <t>N0</t>
        </is>
      </c>
      <c r="AQ5" s="8" t="inlineStr">
        <is>
          <t>N1</t>
        </is>
      </c>
      <c r="AR5" s="8" t="inlineStr">
        <is>
          <t>N2</t>
        </is>
      </c>
      <c r="AS5" s="8" t="inlineStr">
        <is>
          <t>N3</t>
        </is>
      </c>
      <c r="AT5" s="8" t="inlineStr">
        <is>
          <t>N4</t>
        </is>
      </c>
      <c r="AV5" s="8" t="inlineStr">
        <is>
          <t>Bias</t>
        </is>
      </c>
      <c r="AW5" s="8" t="inlineStr">
        <is>
          <t>Sum</t>
        </is>
      </c>
      <c r="AX5" s="8" t="inlineStr">
        <is>
          <t>z=sum+b</t>
        </is>
      </c>
      <c r="AY5" s="8" t="inlineStr">
        <is>
          <t>Sigmoid</t>
        </is>
      </c>
      <c r="AZ5" s="8" t="inlineStr">
        <is>
          <t>Prediction</t>
        </is>
      </c>
    </row>
    <row r="6">
      <c r="A6" s="8" t="inlineStr">
        <is>
          <t>Raw</t>
        </is>
      </c>
      <c r="B6" s="9" t="n">
        <v>3</v>
      </c>
      <c r="C6" s="9" t="n">
        <v>0</v>
      </c>
      <c r="D6" s="9" t="n">
        <v>31</v>
      </c>
      <c r="E6" s="9" t="n">
        <v>20.525</v>
      </c>
      <c r="G6" s="8" t="inlineStr">
        <is>
          <t>N0</t>
        </is>
      </c>
      <c r="H6" s="10" t="n">
        <v>0.3822692632675171</v>
      </c>
      <c r="I6" s="10" t="n">
        <v>0.4150039553642273</v>
      </c>
      <c r="J6" s="10" t="n">
        <v>-0.1171362400054932</v>
      </c>
      <c r="K6" s="10" t="n">
        <v>0.4593056440353394</v>
      </c>
      <c r="M6" s="11" t="n">
        <v>0.3860136866569519</v>
      </c>
      <c r="O6" s="12">
        <f>$B$7*H6</f>
        <v/>
      </c>
      <c r="P6" s="12">
        <f>$C$7*I6</f>
        <v/>
      </c>
      <c r="Q6" s="12">
        <f>$D$7*J6</f>
        <v/>
      </c>
      <c r="R6" s="12">
        <f>$E$7*K6</f>
        <v/>
      </c>
      <c r="T6" s="13">
        <f>O6+P6+Q6+R6</f>
        <v/>
      </c>
      <c r="U6" s="13">
        <f>T6+M6</f>
        <v/>
      </c>
      <c r="V6" s="14">
        <f>MAX(0,U6)</f>
        <v/>
      </c>
      <c r="Y6" s="8" t="inlineStr">
        <is>
          <t>N0</t>
        </is>
      </c>
      <c r="Z6" s="10" t="n">
        <v>0.09499402344226837</v>
      </c>
      <c r="AA6" s="10" t="n">
        <v>-0.09587641060352325</v>
      </c>
      <c r="AB6" s="10" t="n">
        <v>0.1487956047058105</v>
      </c>
      <c r="AC6" s="10" t="n">
        <v>0.315660297870636</v>
      </c>
      <c r="AD6" s="10" t="n">
        <v>0.2043749094009399</v>
      </c>
      <c r="AE6" s="10" t="n">
        <v>-0.1545638293027878</v>
      </c>
      <c r="AF6" s="10" t="n">
        <v>0.204093873500824</v>
      </c>
      <c r="AG6" s="10" t="n">
        <v>0.06325997412204742</v>
      </c>
      <c r="AI6" s="11" t="n">
        <v>-0.1825839430093765</v>
      </c>
      <c r="AJ6" s="13">
        <f>$V$6*Z6+$V$7*AA6+$V$8*AB6+$V$9*AC6+$V$10*AD6+$V$11*AE6+$V$12*AF6+$V$13*AG6</f>
        <v/>
      </c>
      <c r="AK6" s="13">
        <f>AJ6+AI6</f>
        <v/>
      </c>
      <c r="AL6" s="14">
        <f>MAX(0,AK6)</f>
        <v/>
      </c>
      <c r="AO6" s="8" t="inlineStr">
        <is>
          <t>Out</t>
        </is>
      </c>
      <c r="AP6" s="10" t="n">
        <v>-0.1061240658164024</v>
      </c>
      <c r="AQ6" s="10" t="n">
        <v>0.2558267116546631</v>
      </c>
      <c r="AR6" s="10" t="n">
        <v>-0.3474706411361694</v>
      </c>
      <c r="AS6" s="10" t="n">
        <v>-0.2256862372159958</v>
      </c>
      <c r="AT6" s="10" t="n">
        <v>0.1363448947668076</v>
      </c>
      <c r="AV6" s="11" t="n">
        <v>0.09454432874917984</v>
      </c>
      <c r="AW6" s="13">
        <f>$AL$6*AP6+$AL$7*AQ6+$AL$8*AR6+$AL$9*AS6+$AL$10*AT6</f>
        <v/>
      </c>
      <c r="AX6" s="13">
        <f>AW6+AV6</f>
        <v/>
      </c>
      <c r="AY6" s="15">
        <f>1/(1+EXP(-AX6))</f>
        <v/>
      </c>
      <c r="AZ6" s="16">
        <f>IF(AY6&gt;=0.5,"Survived","Died")</f>
        <v/>
      </c>
    </row>
    <row r="7">
      <c r="A7" s="8" t="inlineStr">
        <is>
          <t>Norm</t>
        </is>
      </c>
      <c r="B7" s="17" t="n">
        <v>0.9281677829417966</v>
      </c>
      <c r="C7" s="17" t="n">
        <v>-1.326067157530189</v>
      </c>
      <c r="D7" s="17" t="n">
        <v>0.06680252018963966</v>
      </c>
      <c r="E7" s="17" t="n">
        <v>-0.2938191285524338</v>
      </c>
      <c r="G7" s="8" t="inlineStr">
        <is>
          <t>N1</t>
        </is>
      </c>
      <c r="H7" s="10" t="n">
        <v>-0.1095517873764038</v>
      </c>
      <c r="I7" s="10" t="n">
        <v>0.1008953452110291</v>
      </c>
      <c r="J7" s="10" t="n">
        <v>-0.2434275150299072</v>
      </c>
      <c r="K7" s="10" t="n">
        <v>0.2936413288116455</v>
      </c>
      <c r="M7" s="11" t="n">
        <v>0.0832095742225647</v>
      </c>
      <c r="O7" s="12">
        <f>$B$7*H7</f>
        <v/>
      </c>
      <c r="P7" s="12">
        <f>$C$7*I7</f>
        <v/>
      </c>
      <c r="Q7" s="12">
        <f>$D$7*J7</f>
        <v/>
      </c>
      <c r="R7" s="12">
        <f>$E$7*K7</f>
        <v/>
      </c>
      <c r="T7" s="13">
        <f>O7+P7+Q7+R7</f>
        <v/>
      </c>
      <c r="U7" s="13">
        <f>T7+M7</f>
        <v/>
      </c>
      <c r="V7" s="18">
        <f>MAX(0,U7)</f>
        <v/>
      </c>
      <c r="Y7" s="8" t="inlineStr">
        <is>
          <t>N1</t>
        </is>
      </c>
      <c r="Z7" s="10" t="n">
        <v>0.1795467883348465</v>
      </c>
      <c r="AA7" s="10" t="n">
        <v>-0.2154925763607025</v>
      </c>
      <c r="AB7" s="10" t="n">
        <v>-0.3499854803085327</v>
      </c>
      <c r="AC7" s="10" t="n">
        <v>-0.1365990787744522</v>
      </c>
      <c r="AD7" s="10" t="n">
        <v>-0.2711835205554962</v>
      </c>
      <c r="AE7" s="10" t="n">
        <v>0.2901042997837067</v>
      </c>
      <c r="AF7" s="10" t="n">
        <v>0.1018344536423683</v>
      </c>
      <c r="AG7" s="10" t="n">
        <v>0.1464466005563736</v>
      </c>
      <c r="AI7" s="11" t="n">
        <v>-0.2410215139389038</v>
      </c>
      <c r="AJ7" s="13">
        <f>$V$6*Z7+$V$7*AA7+$V$8*AB7+$V$9*AC7+$V$10*AD7+$V$11*AE7+$V$12*AF7+$V$13*AG7</f>
        <v/>
      </c>
      <c r="AK7" s="13">
        <f>AJ7+AI7</f>
        <v/>
      </c>
      <c r="AL7" s="18">
        <f>MAX(0,AK7)</f>
        <v/>
      </c>
    </row>
    <row r="8">
      <c r="G8" s="8" t="inlineStr">
        <is>
          <t>N2</t>
        </is>
      </c>
      <c r="H8" s="10" t="n">
        <v>0.4407714605331421</v>
      </c>
      <c r="I8" s="10" t="n">
        <v>-0.3668140769004822</v>
      </c>
      <c r="J8" s="10" t="n">
        <v>0.4345980882644653</v>
      </c>
      <c r="K8" s="10" t="n">
        <v>0.09357964992523193</v>
      </c>
      <c r="M8" s="11" t="n">
        <v>-0.1623522639274597</v>
      </c>
      <c r="O8" s="12">
        <f>$B$7*H8</f>
        <v/>
      </c>
      <c r="P8" s="12">
        <f>$C$7*I8</f>
        <v/>
      </c>
      <c r="Q8" s="12">
        <f>$D$7*J8</f>
        <v/>
      </c>
      <c r="R8" s="12">
        <f>$E$7*K8</f>
        <v/>
      </c>
      <c r="T8" s="13">
        <f>O8+P8+Q8+R8</f>
        <v/>
      </c>
      <c r="U8" s="13">
        <f>T8+M8</f>
        <v/>
      </c>
      <c r="V8" s="14">
        <f>MAX(0,U8)</f>
        <v/>
      </c>
      <c r="Y8" s="8" t="inlineStr">
        <is>
          <t>N2</t>
        </is>
      </c>
      <c r="Z8" s="10" t="n">
        <v>0.1118152067065239</v>
      </c>
      <c r="AA8" s="10" t="n">
        <v>-0.006150405388325453</v>
      </c>
      <c r="AB8" s="10" t="n">
        <v>0.2766937911510468</v>
      </c>
      <c r="AC8" s="10" t="n">
        <v>-0.2512044906616211</v>
      </c>
      <c r="AD8" s="10" t="n">
        <v>0.02226103842258453</v>
      </c>
      <c r="AE8" s="10" t="n">
        <v>-0.2413143962621689</v>
      </c>
      <c r="AF8" s="10" t="n">
        <v>0.1090188920497894</v>
      </c>
      <c r="AG8" s="10" t="n">
        <v>-0.1217575222253799</v>
      </c>
      <c r="AI8" s="11" t="n">
        <v>0.1875876933336258</v>
      </c>
      <c r="AJ8" s="13">
        <f>$V$6*Z8+$V$7*AA8+$V$8*AB8+$V$9*AC8+$V$10*AD8+$V$11*AE8+$V$12*AF8+$V$13*AG8</f>
        <v/>
      </c>
      <c r="AK8" s="13">
        <f>AJ8+AI8</f>
        <v/>
      </c>
      <c r="AL8" s="14">
        <f>MAX(0,AK8)</f>
        <v/>
      </c>
      <c r="AV8" s="5" t="inlineStr">
        <is>
          <t>Actual:</t>
        </is>
      </c>
      <c r="AW8" s="19" t="inlineStr">
        <is>
          <t>Survived (1)</t>
        </is>
      </c>
    </row>
    <row r="9">
      <c r="G9" s="8" t="inlineStr">
        <is>
          <t>N3</t>
        </is>
      </c>
      <c r="H9" s="10" t="n">
        <v>0.3694044351577759</v>
      </c>
      <c r="I9" s="10" t="n">
        <v>0.06771528720855713</v>
      </c>
      <c r="J9" s="10" t="n">
        <v>0.2410940527915955</v>
      </c>
      <c r="K9" s="10" t="n">
        <v>-0.07059550285339355</v>
      </c>
      <c r="M9" s="11" t="n">
        <v>0.3089749813079834</v>
      </c>
      <c r="O9" s="12">
        <f>$B$7*H9</f>
        <v/>
      </c>
      <c r="P9" s="12">
        <f>$C$7*I9</f>
        <v/>
      </c>
      <c r="Q9" s="12">
        <f>$D$7*J9</f>
        <v/>
      </c>
      <c r="R9" s="12">
        <f>$E$7*K9</f>
        <v/>
      </c>
      <c r="T9" s="13">
        <f>O9+P9+Q9+R9</f>
        <v/>
      </c>
      <c r="U9" s="13">
        <f>T9+M9</f>
        <v/>
      </c>
      <c r="V9" s="14">
        <f>MAX(0,U9)</f>
        <v/>
      </c>
      <c r="Y9" s="8" t="inlineStr">
        <is>
          <t>N3</t>
        </is>
      </c>
      <c r="Z9" s="10" t="n">
        <v>0.1083345115184784</v>
      </c>
      <c r="AA9" s="10" t="n">
        <v>-0.07365983724594116</v>
      </c>
      <c r="AB9" s="10" t="n">
        <v>0.2932342886924744</v>
      </c>
      <c r="AC9" s="10" t="n">
        <v>-0.2095517665147781</v>
      </c>
      <c r="AD9" s="10" t="n">
        <v>-0.2108585238456726</v>
      </c>
      <c r="AE9" s="10" t="n">
        <v>-0.2108712643384933</v>
      </c>
      <c r="AF9" s="10" t="n">
        <v>0.3180010318756104</v>
      </c>
      <c r="AG9" s="10" t="n">
        <v>0.1178220584988594</v>
      </c>
      <c r="AI9" s="11" t="n">
        <v>-0.1429078578948975</v>
      </c>
      <c r="AJ9" s="13">
        <f>$V$6*Z9+$V$7*AA9+$V$8*AB9+$V$9*AC9+$V$10*AD9+$V$11*AE9+$V$12*AF9+$V$13*AG9</f>
        <v/>
      </c>
      <c r="AK9" s="13">
        <f>AJ9+AI9</f>
        <v/>
      </c>
      <c r="AL9" s="18">
        <f>MAX(0,AK9)</f>
        <v/>
      </c>
      <c r="AV9" s="5" t="inlineStr">
        <is>
          <t>Correct?</t>
        </is>
      </c>
      <c r="AW9" s="3">
        <f>IF(AY6&gt;=0.5,"YES","NO")</f>
        <v/>
      </c>
    </row>
    <row r="10">
      <c r="G10" s="8" t="inlineStr">
        <is>
          <t>N4</t>
        </is>
      </c>
      <c r="H10" s="10" t="n">
        <v>0.3854429125785828</v>
      </c>
      <c r="I10" s="10" t="n">
        <v>0.07390445470809937</v>
      </c>
      <c r="J10" s="10" t="n">
        <v>-0.2334199547767639</v>
      </c>
      <c r="K10" s="10" t="n">
        <v>0.1274491548538208</v>
      </c>
      <c r="M10" s="11" t="n">
        <v>0.07792538404464722</v>
      </c>
      <c r="O10" s="12">
        <f>$B$7*H10</f>
        <v/>
      </c>
      <c r="P10" s="12">
        <f>$C$7*I10</f>
        <v/>
      </c>
      <c r="Q10" s="12">
        <f>$D$7*J10</f>
        <v/>
      </c>
      <c r="R10" s="12">
        <f>$E$7*K10</f>
        <v/>
      </c>
      <c r="T10" s="13">
        <f>O10+P10+Q10+R10</f>
        <v/>
      </c>
      <c r="U10" s="13">
        <f>T10+M10</f>
        <v/>
      </c>
      <c r="V10" s="14">
        <f>MAX(0,U10)</f>
        <v/>
      </c>
      <c r="Y10" s="8" t="inlineStr">
        <is>
          <t>N4</t>
        </is>
      </c>
      <c r="Z10" s="10" t="n">
        <v>0.3402069807052612</v>
      </c>
      <c r="AA10" s="10" t="n">
        <v>-0.2917792201042175</v>
      </c>
      <c r="AB10" s="10" t="n">
        <v>-0.3506811559200287</v>
      </c>
      <c r="AC10" s="10" t="n">
        <v>-0.2766073644161224</v>
      </c>
      <c r="AD10" s="10" t="n">
        <v>-0.2378315031528473</v>
      </c>
      <c r="AE10" s="10" t="n">
        <v>0.1432033181190491</v>
      </c>
      <c r="AF10" s="10" t="n">
        <v>0.1265989243984222</v>
      </c>
      <c r="AG10" s="10" t="n">
        <v>0.2937761247158051</v>
      </c>
      <c r="AI10" s="11" t="n">
        <v>0.2145799696445465</v>
      </c>
      <c r="AJ10" s="13">
        <f>$V$6*Z10+$V$7*AA10+$V$8*AB10+$V$9*AC10+$V$10*AD10+$V$11*AE10+$V$12*AF10+$V$13*AG10</f>
        <v/>
      </c>
      <c r="AK10" s="13">
        <f>AJ10+AI10</f>
        <v/>
      </c>
      <c r="AL10" s="18">
        <f>MAX(0,AK10)</f>
        <v/>
      </c>
    </row>
    <row r="11">
      <c r="G11" s="8" t="inlineStr">
        <is>
          <t>N5</t>
        </is>
      </c>
      <c r="H11" s="10" t="n">
        <v>-0.2303683161735535</v>
      </c>
      <c r="I11" s="10" t="n">
        <v>-0.05863642692565918</v>
      </c>
      <c r="J11" s="10" t="n">
        <v>-0.2030791640281677</v>
      </c>
      <c r="K11" s="10" t="n">
        <v>0.331685483455658</v>
      </c>
      <c r="M11" s="11" t="n">
        <v>0.4039816856384277</v>
      </c>
      <c r="O11" s="12">
        <f>$B$7*H11</f>
        <v/>
      </c>
      <c r="P11" s="12">
        <f>$C$7*I11</f>
        <v/>
      </c>
      <c r="Q11" s="12">
        <f>$D$7*J11</f>
        <v/>
      </c>
      <c r="R11" s="12">
        <f>$E$7*K11</f>
        <v/>
      </c>
      <c r="T11" s="13">
        <f>O11+P11+Q11+R11</f>
        <v/>
      </c>
      <c r="U11" s="13">
        <f>T11+M11</f>
        <v/>
      </c>
      <c r="V11" s="14">
        <f>MAX(0,U11)</f>
        <v/>
      </c>
    </row>
    <row r="12">
      <c r="G12" s="8" t="inlineStr">
        <is>
          <t>N6</t>
        </is>
      </c>
      <c r="H12" s="10" t="n">
        <v>-0.3946850895881653</v>
      </c>
      <c r="I12" s="10" t="n">
        <v>-0.2305051684379578</v>
      </c>
      <c r="J12" s="10" t="n">
        <v>-0.1411873698234558</v>
      </c>
      <c r="K12" s="10" t="n">
        <v>-0.3006362318992615</v>
      </c>
      <c r="M12" s="11" t="n">
        <v>0.05465984344482422</v>
      </c>
      <c r="O12" s="12">
        <f>$B$7*H12</f>
        <v/>
      </c>
      <c r="P12" s="12">
        <f>$C$7*I12</f>
        <v/>
      </c>
      <c r="Q12" s="12">
        <f>$D$7*J12</f>
        <v/>
      </c>
      <c r="R12" s="12">
        <f>$E$7*K12</f>
        <v/>
      </c>
      <c r="T12" s="13">
        <f>O12+P12+Q12+R12</f>
        <v/>
      </c>
      <c r="U12" s="13">
        <f>T12+M12</f>
        <v/>
      </c>
      <c r="V12" s="14">
        <f>MAX(0,U12)</f>
        <v/>
      </c>
    </row>
    <row r="13">
      <c r="G13" s="8" t="inlineStr">
        <is>
          <t>N7</t>
        </is>
      </c>
      <c r="H13" s="10" t="n">
        <v>0.0471915602684021</v>
      </c>
      <c r="I13" s="10" t="n">
        <v>-0.4938395619392395</v>
      </c>
      <c r="J13" s="10" t="n">
        <v>0.451554536819458</v>
      </c>
      <c r="K13" s="10" t="n">
        <v>-0.4247341156005859</v>
      </c>
      <c r="M13" s="11" t="n">
        <v>-0.1576865911483765</v>
      </c>
      <c r="O13" s="12">
        <f>$B$7*H13</f>
        <v/>
      </c>
      <c r="P13" s="12">
        <f>$C$7*I13</f>
        <v/>
      </c>
      <c r="Q13" s="12">
        <f>$D$7*J13</f>
        <v/>
      </c>
      <c r="R13" s="12">
        <f>$E$7*K13</f>
        <v/>
      </c>
      <c r="T13" s="13">
        <f>O13+P13+Q13+R13</f>
        <v/>
      </c>
      <c r="U13" s="13">
        <f>T13+M13</f>
        <v/>
      </c>
      <c r="V13" s="14">
        <f>MAX(0,U13)</f>
        <v/>
      </c>
    </row>
    <row r="16">
      <c r="A16" s="3" t="inlineStr">
        <is>
          <t>COLOR LEGEND</t>
        </is>
      </c>
    </row>
    <row r="17">
      <c r="A17" s="20" t="inlineStr"/>
      <c r="B17" s="21" t="inlineStr">
        <is>
          <t>Input data (hardcoded)</t>
        </is>
      </c>
    </row>
    <row r="18">
      <c r="A18" s="22" t="inlineStr"/>
      <c r="B18" s="21" t="inlineStr">
        <is>
          <t>Weights (hardcoded from PyTorch model)</t>
        </is>
      </c>
    </row>
    <row r="19">
      <c r="A19" s="23" t="inlineStr"/>
      <c r="B19" s="21" t="inlineStr">
        <is>
          <t>Bias (hardcoded from model)</t>
        </is>
      </c>
    </row>
    <row r="20">
      <c r="A20" s="24" t="inlineStr"/>
      <c r="B20" s="21" t="inlineStr">
        <is>
          <t>Products = input x weight (FORMULA)</t>
        </is>
      </c>
    </row>
    <row r="21">
      <c r="A21" s="25" t="inlineStr"/>
      <c r="B21" s="21" t="inlineStr">
        <is>
          <t>Sum / pre-activation (FORMULA)</t>
        </is>
      </c>
    </row>
    <row r="22">
      <c r="A22" s="26" t="inlineStr"/>
      <c r="B22" s="21" t="inlineStr">
        <is>
          <t>Active neuron after ReLU (FORMULA)</t>
        </is>
      </c>
    </row>
    <row r="23">
      <c r="A23" s="27" t="inlineStr"/>
      <c r="B23" s="21" t="inlineStr">
        <is>
          <t>Silenced neuron - ReLU zeroed it (FORMULA)</t>
        </is>
      </c>
    </row>
    <row r="24">
      <c r="A24" s="28" t="inlineStr"/>
      <c r="B24" s="21" t="inlineStr">
        <is>
          <t>Sigmoid output (FORMULA)</t>
        </is>
      </c>
    </row>
    <row r="26">
      <c r="A26" s="29" t="inlineStr">
        <is>
          <t>Try it: change any weight or input value and watch the entire forward pass recalculate.</t>
        </is>
      </c>
    </row>
    <row r="30">
      <c r="A30" s="1" t="inlineStr">
        <is>
          <t>BACKWARD PASS + WEIGHT UPDATE (Hidden Layer 1 example)</t>
        </is>
      </c>
    </row>
    <row r="31">
      <c r="A31" s="21" t="inlineStr">
        <is>
          <t>After loss.backward(), PyTorch computes a gradient for every weight. The gradient tells us:</t>
        </is>
      </c>
    </row>
    <row r="32">
      <c r="A32" s="2" t="inlineStr">
        <is>
          <t>Negative gradient = increasing this weight would decrease loss (good!) | Positive = would increase loss (bad)</t>
        </is>
      </c>
    </row>
    <row r="33">
      <c r="A33" s="30" t="inlineStr">
        <is>
          <t>Loss = 0.6944 | Learning rate = 0.1</t>
        </is>
      </c>
      <c r="G33" s="5" t="n">
        <v>0.1</v>
      </c>
    </row>
    <row r="35">
      <c r="A35" s="31" t="inlineStr">
        <is>
          <t>STEP 1: Current Weights (before update)</t>
        </is>
      </c>
      <c r="I35" s="31" t="inlineStr">
        <is>
          <t>STEP 2: Gradients (blame assignment)</t>
        </is>
      </c>
      <c r="Q35" s="31" t="inlineStr">
        <is>
          <t>STEP 3: Updated Weights (w - lr * grad)</t>
        </is>
      </c>
    </row>
    <row r="36">
      <c r="A36" s="8" t="inlineStr"/>
      <c r="B36" s="8" t="inlineStr">
        <is>
          <t>Pclass</t>
        </is>
      </c>
      <c r="C36" s="8" t="inlineStr">
        <is>
          <t>Sex</t>
        </is>
      </c>
      <c r="D36" s="8" t="inlineStr">
        <is>
          <t>Age</t>
        </is>
      </c>
      <c r="E36" s="8" t="inlineStr">
        <is>
          <t>Fare</t>
        </is>
      </c>
      <c r="F36" s="8" t="inlineStr"/>
      <c r="G36" s="8" t="inlineStr">
        <is>
          <t>Bias</t>
        </is>
      </c>
      <c r="I36" s="8" t="inlineStr"/>
      <c r="J36" s="8" t="inlineStr">
        <is>
          <t>Pclass</t>
        </is>
      </c>
      <c r="K36" s="8" t="inlineStr">
        <is>
          <t>Sex</t>
        </is>
      </c>
      <c r="L36" s="8" t="inlineStr">
        <is>
          <t>Age</t>
        </is>
      </c>
      <c r="M36" s="8" t="inlineStr">
        <is>
          <t>Fare</t>
        </is>
      </c>
      <c r="N36" s="8" t="inlineStr"/>
      <c r="O36" s="8" t="inlineStr">
        <is>
          <t>Bias</t>
        </is>
      </c>
      <c r="Q36" s="8" t="inlineStr"/>
      <c r="R36" s="8" t="inlineStr">
        <is>
          <t>Pclass</t>
        </is>
      </c>
      <c r="S36" s="8" t="inlineStr">
        <is>
          <t>Sex</t>
        </is>
      </c>
      <c r="T36" s="8" t="inlineStr">
        <is>
          <t>Age</t>
        </is>
      </c>
      <c r="U36" s="8" t="inlineStr">
        <is>
          <t>Fare</t>
        </is>
      </c>
      <c r="V36" s="8" t="inlineStr"/>
      <c r="W36" s="8" t="inlineStr">
        <is>
          <t>Bias</t>
        </is>
      </c>
    </row>
    <row r="37">
      <c r="A37" s="8" t="inlineStr">
        <is>
          <t>N0</t>
        </is>
      </c>
      <c r="B37" s="10" t="n">
        <v>0.3822692632675171</v>
      </c>
      <c r="C37" s="10" t="n">
        <v>0.4150039553642273</v>
      </c>
      <c r="D37" s="10" t="n">
        <v>-0.1171362400054932</v>
      </c>
      <c r="E37" s="10" t="n">
        <v>0.4593056440353394</v>
      </c>
      <c r="G37" s="10" t="n">
        <v>0.3860136866569519</v>
      </c>
      <c r="I37" s="8" t="inlineStr">
        <is>
          <t>N0</t>
        </is>
      </c>
      <c r="J37" s="18" t="n">
        <v>0.0004016085295006633</v>
      </c>
      <c r="K37" s="18" t="n">
        <v>0.0022124326787889</v>
      </c>
      <c r="L37" s="14" t="n">
        <v>-0.0005660403985530138</v>
      </c>
      <c r="M37" s="14" t="n">
        <v>-0.002853423357009888</v>
      </c>
      <c r="O37" s="14" t="n">
        <v>-0.001325164455920458</v>
      </c>
      <c r="Q37" s="8" t="inlineStr">
        <is>
          <t>N0</t>
        </is>
      </c>
      <c r="R37" s="32">
        <f>B37-$G33*J37</f>
        <v/>
      </c>
      <c r="S37" s="32">
        <f>C37-$G33*K37</f>
        <v/>
      </c>
      <c r="T37" s="32">
        <f>D37-$G33*L37</f>
        <v/>
      </c>
      <c r="U37" s="32">
        <f>E37-$G33*M37</f>
        <v/>
      </c>
      <c r="W37" s="32">
        <f>G37-$G33*O37</f>
        <v/>
      </c>
    </row>
    <row r="38">
      <c r="A38" s="8" t="inlineStr">
        <is>
          <t>N1</t>
        </is>
      </c>
      <c r="B38" s="10" t="n">
        <v>-0.1095517873764038</v>
      </c>
      <c r="C38" s="10" t="n">
        <v>0.1008953452110291</v>
      </c>
      <c r="D38" s="10" t="n">
        <v>-0.2434275150299072</v>
      </c>
      <c r="E38" s="10" t="n">
        <v>0.2936413288116455</v>
      </c>
      <c r="G38" s="10" t="n">
        <v>0.0832095742225647</v>
      </c>
      <c r="I38" s="8" t="inlineStr">
        <is>
          <t>N1</t>
        </is>
      </c>
      <c r="J38" s="14" t="n">
        <v>-0.006134810391813517</v>
      </c>
      <c r="K38" s="14" t="n">
        <v>-0.009613746777176857</v>
      </c>
      <c r="L38" s="14" t="n">
        <v>-0.0001731858646962792</v>
      </c>
      <c r="M38" s="18" t="n">
        <v>0.005858058109879494</v>
      </c>
      <c r="O38" s="18" t="n">
        <v>0.001725579728372395</v>
      </c>
      <c r="Q38" s="8" t="inlineStr">
        <is>
          <t>N1</t>
        </is>
      </c>
      <c r="R38" s="32">
        <f>B38-$G33*J38</f>
        <v/>
      </c>
      <c r="S38" s="32">
        <f>C38-$G33*K38</f>
        <v/>
      </c>
      <c r="T38" s="32">
        <f>D38-$G33*L38</f>
        <v/>
      </c>
      <c r="U38" s="32">
        <f>E38-$G33*M38</f>
        <v/>
      </c>
      <c r="W38" s="32">
        <f>G38-$G33*O38</f>
        <v/>
      </c>
    </row>
    <row r="39">
      <c r="A39" s="8" t="inlineStr">
        <is>
          <t>N2</t>
        </is>
      </c>
      <c r="B39" s="10" t="n">
        <v>0.4407714605331421</v>
      </c>
      <c r="C39" s="10" t="n">
        <v>-0.3668140769004822</v>
      </c>
      <c r="D39" s="10" t="n">
        <v>0.4345980882644653</v>
      </c>
      <c r="E39" s="10" t="n">
        <v>0.09357964992523193</v>
      </c>
      <c r="G39" s="10" t="n">
        <v>-0.1623522639274597</v>
      </c>
      <c r="I39" s="8" t="inlineStr">
        <is>
          <t>N2</t>
        </is>
      </c>
      <c r="J39" s="14" t="n">
        <v>-0.01375933270901442</v>
      </c>
      <c r="K39" s="14" t="n">
        <v>-0.01744655892252922</v>
      </c>
      <c r="L39" s="14" t="n">
        <v>-0.003462047316133976</v>
      </c>
      <c r="M39" s="18" t="n">
        <v>0.006921625696122646</v>
      </c>
      <c r="O39" s="14" t="n">
        <v>-0.0002474510401953012</v>
      </c>
      <c r="Q39" s="8" t="inlineStr">
        <is>
          <t>N2</t>
        </is>
      </c>
      <c r="R39" s="32">
        <f>B39-$G33*J39</f>
        <v/>
      </c>
      <c r="S39" s="32">
        <f>C39-$G33*K39</f>
        <v/>
      </c>
      <c r="T39" s="32">
        <f>D39-$G33*L39</f>
        <v/>
      </c>
      <c r="U39" s="32">
        <f>E39-$G33*M39</f>
        <v/>
      </c>
      <c r="W39" s="32">
        <f>G39-$G33*O39</f>
        <v/>
      </c>
    </row>
    <row r="40">
      <c r="A40" s="8" t="inlineStr">
        <is>
          <t>N3</t>
        </is>
      </c>
      <c r="B40" s="10" t="n">
        <v>0.3694044351577759</v>
      </c>
      <c r="C40" s="10" t="n">
        <v>0.06771528720855713</v>
      </c>
      <c r="D40" s="10" t="n">
        <v>0.2410940527915955</v>
      </c>
      <c r="E40" s="10" t="n">
        <v>-0.07059550285339355</v>
      </c>
      <c r="G40" s="10" t="n">
        <v>0.3089749813079834</v>
      </c>
      <c r="I40" s="8" t="inlineStr">
        <is>
          <t>N3</t>
        </is>
      </c>
      <c r="J40" s="18" t="n">
        <v>0.001771957846358418</v>
      </c>
      <c r="K40" s="18" t="n">
        <v>0.00652160681784153</v>
      </c>
      <c r="L40" s="18" t="n">
        <v>0.001340972841717303</v>
      </c>
      <c r="M40" s="14" t="n">
        <v>-0.001539276912808418</v>
      </c>
      <c r="O40" s="18" t="n">
        <v>0.004258284345269203</v>
      </c>
      <c r="Q40" s="8" t="inlineStr">
        <is>
          <t>N3</t>
        </is>
      </c>
      <c r="R40" s="32">
        <f>B40-$G33*J40</f>
        <v/>
      </c>
      <c r="S40" s="32">
        <f>C40-$G33*K40</f>
        <v/>
      </c>
      <c r="T40" s="32">
        <f>D40-$G33*L40</f>
        <v/>
      </c>
      <c r="U40" s="32">
        <f>E40-$G33*M40</f>
        <v/>
      </c>
      <c r="W40" s="32">
        <f>G40-$G33*O40</f>
        <v/>
      </c>
    </row>
    <row r="41">
      <c r="A41" s="8" t="inlineStr">
        <is>
          <t>N4</t>
        </is>
      </c>
      <c r="B41" s="10" t="n">
        <v>0.3854429125785828</v>
      </c>
      <c r="C41" s="10" t="n">
        <v>0.07390445470809937</v>
      </c>
      <c r="D41" s="10" t="n">
        <v>-0.2334199547767639</v>
      </c>
      <c r="E41" s="10" t="n">
        <v>0.1274491548538208</v>
      </c>
      <c r="G41" s="10" t="n">
        <v>0.07792538404464722</v>
      </c>
      <c r="I41" s="8" t="inlineStr">
        <is>
          <t>N4</t>
        </is>
      </c>
      <c r="J41" s="14" t="n">
        <v>-0.006697874050587416</v>
      </c>
      <c r="K41" s="14" t="n">
        <v>-0.008641618303954601</v>
      </c>
      <c r="L41" s="14" t="n">
        <v>-0.0003290663589723408</v>
      </c>
      <c r="M41" s="18" t="n">
        <v>0.004817156586796045</v>
      </c>
      <c r="O41" s="14" t="n">
        <v>-0.006860766094177961</v>
      </c>
      <c r="Q41" s="8" t="inlineStr">
        <is>
          <t>N4</t>
        </is>
      </c>
      <c r="R41" s="32">
        <f>B41-$G33*J41</f>
        <v/>
      </c>
      <c r="S41" s="32">
        <f>C41-$G33*K41</f>
        <v/>
      </c>
      <c r="T41" s="32">
        <f>D41-$G33*L41</f>
        <v/>
      </c>
      <c r="U41" s="32">
        <f>E41-$G33*M41</f>
        <v/>
      </c>
      <c r="W41" s="32">
        <f>G41-$G33*O41</f>
        <v/>
      </c>
    </row>
    <row r="42">
      <c r="A42" s="8" t="inlineStr">
        <is>
          <t>N5</t>
        </is>
      </c>
      <c r="B42" s="10" t="n">
        <v>-0.2303683161735535</v>
      </c>
      <c r="C42" s="10" t="n">
        <v>-0.05863642692565918</v>
      </c>
      <c r="D42" s="10" t="n">
        <v>-0.2030791640281677</v>
      </c>
      <c r="E42" s="10" t="n">
        <v>0.331685483455658</v>
      </c>
      <c r="G42" s="10" t="n">
        <v>0.4039816856384277</v>
      </c>
      <c r="I42" s="8" t="inlineStr">
        <is>
          <t>N5</t>
        </is>
      </c>
      <c r="J42" s="18" t="n">
        <v>0.01403692550957203</v>
      </c>
      <c r="K42" s="18" t="n">
        <v>0.02932916767895222</v>
      </c>
      <c r="L42" s="14" t="n">
        <v>-0.000126957893371582</v>
      </c>
      <c r="M42" s="14" t="n">
        <v>-0.009153172373771667</v>
      </c>
      <c r="O42" s="18" t="n">
        <v>0.003462023800238967</v>
      </c>
      <c r="Q42" s="8" t="inlineStr">
        <is>
          <t>N5</t>
        </is>
      </c>
      <c r="R42" s="32">
        <f>B42-$G33*J42</f>
        <v/>
      </c>
      <c r="S42" s="32">
        <f>C42-$G33*K42</f>
        <v/>
      </c>
      <c r="T42" s="32">
        <f>D42-$G33*L42</f>
        <v/>
      </c>
      <c r="U42" s="32">
        <f>E42-$G33*M42</f>
        <v/>
      </c>
      <c r="W42" s="32">
        <f>G42-$G33*O42</f>
        <v/>
      </c>
    </row>
    <row r="43">
      <c r="A43" s="8" t="inlineStr">
        <is>
          <t>N6</t>
        </is>
      </c>
      <c r="B43" s="10" t="n">
        <v>-0.3946850895881653</v>
      </c>
      <c r="C43" s="10" t="n">
        <v>-0.2305051684379578</v>
      </c>
      <c r="D43" s="10" t="n">
        <v>-0.1411873698234558</v>
      </c>
      <c r="E43" s="10" t="n">
        <v>-0.3006362318992615</v>
      </c>
      <c r="G43" s="10" t="n">
        <v>0.05465984344482422</v>
      </c>
      <c r="I43" s="8" t="inlineStr">
        <is>
          <t>N6</t>
        </is>
      </c>
      <c r="J43" s="18" t="n">
        <v>0.0005258028395473957</v>
      </c>
      <c r="K43" s="14" t="n">
        <v>-0.003668673103675246</v>
      </c>
      <c r="L43" s="18" t="n">
        <v>0.0006480523734353483</v>
      </c>
      <c r="M43" s="14" t="n">
        <v>-0.00168114120606333</v>
      </c>
      <c r="O43" s="18" t="n">
        <v>0.001305721583776176</v>
      </c>
      <c r="Q43" s="8" t="inlineStr">
        <is>
          <t>N6</t>
        </is>
      </c>
      <c r="R43" s="32">
        <f>B43-$G33*J43</f>
        <v/>
      </c>
      <c r="S43" s="32">
        <f>C43-$G33*K43</f>
        <v/>
      </c>
      <c r="T43" s="32">
        <f>D43-$G33*L43</f>
        <v/>
      </c>
      <c r="U43" s="32">
        <f>E43-$G33*M43</f>
        <v/>
      </c>
      <c r="W43" s="32">
        <f>G43-$G33*O43</f>
        <v/>
      </c>
    </row>
    <row r="44">
      <c r="A44" s="8" t="inlineStr">
        <is>
          <t>N7</t>
        </is>
      </c>
      <c r="B44" s="10" t="n">
        <v>0.0471915602684021</v>
      </c>
      <c r="C44" s="10" t="n">
        <v>-0.4938395619392395</v>
      </c>
      <c r="D44" s="10" t="n">
        <v>0.451554536819458</v>
      </c>
      <c r="E44" s="10" t="n">
        <v>-0.4247341156005859</v>
      </c>
      <c r="G44" s="10" t="n">
        <v>-0.1576865911483765</v>
      </c>
      <c r="I44" s="8" t="inlineStr">
        <is>
          <t>N7</t>
        </is>
      </c>
      <c r="J44" s="18" t="n">
        <v>0.004037557169795036</v>
      </c>
      <c r="K44" s="18" t="n">
        <v>0.009066077880561352</v>
      </c>
      <c r="L44" s="18" t="n">
        <v>0.003960052970796824</v>
      </c>
      <c r="M44" s="14" t="n">
        <v>-0.001995272468775511</v>
      </c>
      <c r="O44" s="14" t="n">
        <v>-0.001984374830499291</v>
      </c>
      <c r="Q44" s="8" t="inlineStr">
        <is>
          <t>N7</t>
        </is>
      </c>
      <c r="R44" s="32">
        <f>B44-$G33*J44</f>
        <v/>
      </c>
      <c r="S44" s="32">
        <f>C44-$G33*K44</f>
        <v/>
      </c>
      <c r="T44" s="32">
        <f>D44-$G33*L44</f>
        <v/>
      </c>
      <c r="U44" s="32">
        <f>E44-$G33*M44</f>
        <v/>
      </c>
      <c r="W44" s="32">
        <f>G44-$G33*O44</f>
        <v/>
      </c>
    </row>
    <row r="46">
      <c r="A46" s="3" t="inlineStr">
        <is>
          <t>HOW TO READ THE GRADIENTS:</t>
        </is>
      </c>
    </row>
    <row r="47">
      <c r="A47" s="21" t="inlineStr">
        <is>
          <t>Green = negative gradient = increasing this weight would REDUCE loss. So the update INCREASES it (subtracting a negative).</t>
        </is>
      </c>
    </row>
    <row r="48">
      <c r="A48" s="21" t="inlineStr">
        <is>
          <t>Pink = positive gradient = increasing this weight would INCREASE loss. So the update DECREASES it.</t>
        </is>
      </c>
    </row>
    <row r="49">
      <c r="A49" s="21" t="inlineStr">
        <is>
          <t>Blue = the new weight after one step of gradient descent. Formula: new_weight = old_weight - learning_rate * gradient</t>
        </is>
      </c>
    </row>
    <row r="50">
      <c r="A50" s="21" t="inlineStr">
        <is>
          <t>Small gradients mean the weight barely affects the loss. Large gradients mean it has a big impact.</t>
        </is>
      </c>
    </row>
    <row r="52">
      <c r="A52" s="29" t="inlineStr">
        <is>
          <t>This is ONE update step. Training repeats this hundreds of times (forward -&gt; loss -&gt; backward -&gt; update) until the loss is small.</t>
        </is>
      </c>
    </row>
  </sheetData>
  <mergeCells count="8">
    <mergeCell ref="I35:M35"/>
    <mergeCell ref="Q35:U35"/>
    <mergeCell ref="A35:E35"/>
    <mergeCell ref="A4:E4"/>
    <mergeCell ref="O4:R4"/>
    <mergeCell ref="AO4:AT4"/>
    <mergeCell ref="G4:K4"/>
    <mergeCell ref="Y4:A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2026-03-31T06:16:49Z</dcterms:created>
  <dcterms:modified xmlns:dcterms="http://purl.org/dc/terms/" xmlns:xsi="http://www.w3.org/2001/XMLSchema-instance" xsi:type="dcterms:W3CDTF">2026-03-31T06:20:06Z</dcterms:modified>
</cp:coreProperties>
</file>